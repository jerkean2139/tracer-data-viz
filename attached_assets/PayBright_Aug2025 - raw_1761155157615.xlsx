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Residuals/PayBright/"/>
    </mc:Choice>
  </mc:AlternateContent>
  <xr:revisionPtr revIDLastSave="3" documentId="8_{CA579D02-9A3D-4446-B7C2-2C8607A05113}" xr6:coauthVersionLast="47" xr6:coauthVersionMax="47" xr10:uidLastSave="{F1CBBF9F-D497-5244-936A-D06CCA953105}"/>
  <bookViews>
    <workbookView xWindow="0" yWindow="680" windowWidth="29020" windowHeight="170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20" i="1"/>
</calcChain>
</file>

<file path=xl/sharedStrings.xml><?xml version="1.0" encoding="utf-8"?>
<sst xmlns="http://schemas.openxmlformats.org/spreadsheetml/2006/main" count="102" uniqueCount="64">
  <si>
    <t>3286747952973980</t>
  </si>
  <si>
    <t>ADVANCED AUTO GUARD</t>
  </si>
  <si>
    <t>08/18/2025</t>
  </si>
  <si>
    <t>ISO</t>
  </si>
  <si>
    <t>3286748265921879</t>
  </si>
  <si>
    <t>BIG APPLE BAGEL</t>
  </si>
  <si>
    <t>07/18/2025</t>
  </si>
  <si>
    <t>3286747770331306</t>
  </si>
  <si>
    <t>CLASSIC CREATIONS IN DIAMONDS AND GOLD I</t>
  </si>
  <si>
    <t>09/19/2025</t>
  </si>
  <si>
    <t>3286748748433047</t>
  </si>
  <si>
    <t>Extreme RV Repair</t>
  </si>
  <si>
    <t>06/18/2025</t>
  </si>
  <si>
    <t>3286747838575276</t>
  </si>
  <si>
    <t>GASTON'S WHITE RIVER RESORT</t>
  </si>
  <si>
    <t>3286747948376196</t>
  </si>
  <si>
    <t>GREEN BERET GUNS</t>
  </si>
  <si>
    <t>3286748535143573</t>
  </si>
  <si>
    <t>Michael Bonne Copper Smith</t>
  </si>
  <si>
    <t>5482983600020030</t>
  </si>
  <si>
    <t>Mobile-One Communications</t>
  </si>
  <si>
    <t>3286747814027934</t>
  </si>
  <si>
    <t>YEAGER ENTERPRISES OF FLORIDA</t>
  </si>
  <si>
    <t>Merchant ID</t>
  </si>
  <si>
    <t>Merchant</t>
  </si>
  <si>
    <t>Transactions</t>
  </si>
  <si>
    <t>Sales Amount</t>
  </si>
  <si>
    <t>Income</t>
  </si>
  <si>
    <t>Expenses</t>
  </si>
  <si>
    <t>Net</t>
  </si>
  <si>
    <t>BPS</t>
  </si>
  <si>
    <t>%</t>
  </si>
  <si>
    <t>Agent Net</t>
  </si>
  <si>
    <t>Approval Date</t>
  </si>
  <si>
    <t>Group</t>
  </si>
  <si>
    <t>3286748882065746</t>
  </si>
  <si>
    <t>Etter Truck Service &amp; Tire LLC</t>
  </si>
  <si>
    <t>05/19/2025</t>
  </si>
  <si>
    <t>3286748394349254</t>
  </si>
  <si>
    <t>ST. CHARLES COMMUNITY ASSOCIATION INC</t>
  </si>
  <si>
    <t>3286748466021273</t>
  </si>
  <si>
    <t>SHARECROPPERS WAGON WHEEL</t>
  </si>
  <si>
    <t>3286747882317295</t>
  </si>
  <si>
    <t>BAKER AMBULATORY SURGERY CENTER</t>
  </si>
  <si>
    <t>3286747886447890</t>
  </si>
  <si>
    <t>BAKER EYE INSTITUTE</t>
  </si>
  <si>
    <t>3286747758055485</t>
  </si>
  <si>
    <t>INNOVATIVE DIRECT MARKETING</t>
  </si>
  <si>
    <t>August 2025 P-Series Baker Eye Institute 3286747882317295</t>
  </si>
  <si>
    <t>August 2025 P-Series Baker Eye Institute 3286747886447890</t>
  </si>
  <si>
    <t>August 2025 Manual Adjustment - Call tag for Baker Ambulatory Surgery Center &amp; Baker Eye Institute - Cody Burnell</t>
  </si>
  <si>
    <t>August 2025 Manual Adjustment - Call tag for Baker Eye Institute 3286747886447890 - Cody Burnell</t>
  </si>
  <si>
    <t>5482983600022390</t>
  </si>
  <si>
    <t>ROBERSON &amp; ASSOCIATES PA</t>
  </si>
  <si>
    <t>08/19/2025</t>
  </si>
  <si>
    <t>5482983600020824</t>
  </si>
  <si>
    <t>KAISER TIRE AND AUTO SERVICE</t>
  </si>
  <si>
    <t>497250271887</t>
  </si>
  <si>
    <t>GUNNISON VITAMIN &amp; HEALTH FOOD STORE</t>
  </si>
  <si>
    <t>06/20/2025</t>
  </si>
  <si>
    <t>497249719889</t>
  </si>
  <si>
    <t>GORDON ELECTRIC SUPPLY</t>
  </si>
  <si>
    <t>05/21/2025</t>
  </si>
  <si>
    <t>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</si>
</sst>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indexed="9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7"/>
  </cellStyleXfs>
  <cellXfs count="21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2" fontId="0" fillId="0" borderId="3" xfId="0" applyNumberFormat="1" applyBorder="1"/>
    <xf numFmtId="49" fontId="0" fillId="0" borderId="4" xfId="0" applyNumberFormat="1" applyBorder="1"/>
    <xf numFmtId="1" fontId="0" fillId="0" borderId="5" xfId="0" applyNumberFormat="1" applyBorder="1"/>
    <xf numFmtId="14" fontId="0" fillId="0" borderId="6" xfId="0" applyNumberFormat="1" applyBorder="1"/>
    <xf numFmtId="49" fontId="0" fillId="0" borderId="8" xfId="0" applyNumberFormat="1" applyBorder="1"/>
    <xf numFmtId="1" fontId="0" fillId="0" borderId="8" xfId="0" applyNumberFormat="1" applyBorder="1"/>
    <xf numFmtId="2" fontId="0" fillId="0" borderId="8" xfId="0" applyNumberFormat="1" applyBorder="1"/>
    <xf numFmtId="0" fontId="0" fillId="0" borderId="8" xfId="0" applyBorder="1"/>
    <xf numFmtId="14" fontId="0" fillId="0" borderId="8" xfId="0" applyNumberFormat="1" applyBorder="1"/>
    <xf numFmtId="0" fontId="2" fillId="0" borderId="7" xfId="1"/>
    <xf numFmtId="0" fontId="2" fillId="0" borderId="8" xfId="1" applyBorder="1"/>
    <xf numFmtId="2" fontId="2" fillId="0" borderId="8" xfId="1" applyNumberFormat="1" applyBorder="1"/>
    <xf numFmtId="49" fontId="2" fillId="0" borderId="8" xfId="1" applyNumberFormat="1" applyBorder="1"/>
    <xf numFmtId="1" fontId="2" fillId="0" borderId="8" xfId="1" applyNumberFormat="1" applyBorder="1"/>
    <xf numFmtId="14" fontId="2" fillId="0" borderId="8" xfId="1" applyNumberFormat="1" applyBorder="1"/>
    <xf numFmtId="2" fontId="0" fillId="3" borderId="8" xfId="0" applyNumberFormat="1" applyFill="1" applyBorder="1"/>
    <xf numFmtId="2" fontId="0" fillId="4" borderId="3" xfId="0" applyNumberFormat="1" applyFill="1" applyBorder="1"/>
    <xf numFmtId="2" fontId="2" fillId="0" borderId="7" xfId="1" applyNumberFormat="1"/>
  </cellXfs>
  <cellStyles count="2">
    <cellStyle name="Normal" xfId="0" builtinId="0"/>
    <cellStyle name="Normal 2" xfId="1" xr:uid="{9E7519FB-4259-423F-96B5-00AE4D5307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ySplit="1" topLeftCell="A2" activePane="bottomLeft" state="frozen"/>
      <selection pane="bottomLeft" activeCell="B18" sqref="B18"/>
    </sheetView>
  </sheetViews>
  <sheetFormatPr baseColWidth="10" defaultColWidth="8.83203125" defaultRowHeight="15" x14ac:dyDescent="0.2"/>
  <cols>
    <col min="1" max="1" width="20" customWidth="1"/>
    <col min="2" max="2" width="50" customWidth="1"/>
    <col min="3" max="3" width="89.33203125" bestFit="1" customWidth="1"/>
    <col min="4" max="4" width="15" customWidth="1"/>
    <col min="5" max="7" width="12" customWidth="1"/>
    <col min="8" max="9" width="8" customWidth="1"/>
    <col min="10" max="10" width="12" customWidth="1"/>
    <col min="11" max="11" width="15" customWidth="1"/>
    <col min="12" max="12" width="20" customWidth="1"/>
  </cols>
  <sheetData>
    <row r="1" spans="1:12" x14ac:dyDescent="0.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 x14ac:dyDescent="0.2">
      <c r="A2" s="4" t="s">
        <v>0</v>
      </c>
      <c r="B2" s="4" t="s">
        <v>1</v>
      </c>
      <c r="C2" s="5">
        <v>1</v>
      </c>
      <c r="D2" s="3">
        <v>2053.44</v>
      </c>
      <c r="E2" s="3">
        <v>69.430000000000007</v>
      </c>
      <c r="F2" s="3">
        <v>62.21</v>
      </c>
      <c r="G2" s="3">
        <v>7.22</v>
      </c>
      <c r="H2" s="3">
        <v>0.35</v>
      </c>
      <c r="I2" s="2">
        <v>80</v>
      </c>
      <c r="J2" s="3">
        <v>5.78</v>
      </c>
      <c r="K2" s="6" t="s">
        <v>2</v>
      </c>
      <c r="L2" s="4" t="s">
        <v>3</v>
      </c>
    </row>
    <row r="3" spans="1:12" x14ac:dyDescent="0.2">
      <c r="A3" s="4" t="s">
        <v>4</v>
      </c>
      <c r="B3" s="4" t="s">
        <v>5</v>
      </c>
      <c r="C3" s="5">
        <v>3357</v>
      </c>
      <c r="D3" s="3">
        <v>48569.88</v>
      </c>
      <c r="E3" s="3">
        <v>1687.84</v>
      </c>
      <c r="F3" s="3">
        <v>1316.42</v>
      </c>
      <c r="G3" s="3">
        <v>371.42</v>
      </c>
      <c r="H3" s="3">
        <v>0.76</v>
      </c>
      <c r="I3" s="2">
        <v>80</v>
      </c>
      <c r="J3" s="3">
        <v>297.14</v>
      </c>
      <c r="K3" s="6" t="s">
        <v>6</v>
      </c>
      <c r="L3" s="4" t="s">
        <v>3</v>
      </c>
    </row>
    <row r="4" spans="1:12" x14ac:dyDescent="0.2">
      <c r="A4" s="4" t="s">
        <v>7</v>
      </c>
      <c r="B4" s="4" t="s">
        <v>8</v>
      </c>
      <c r="C4" s="5">
        <v>0</v>
      </c>
      <c r="D4" s="3">
        <v>0</v>
      </c>
      <c r="E4" s="3">
        <v>25</v>
      </c>
      <c r="F4" s="3">
        <v>12.5</v>
      </c>
      <c r="G4" s="3">
        <v>12.5</v>
      </c>
      <c r="H4" s="3">
        <v>0</v>
      </c>
      <c r="I4" s="2">
        <v>80</v>
      </c>
      <c r="J4" s="3">
        <v>10</v>
      </c>
      <c r="K4" s="6" t="s">
        <v>9</v>
      </c>
      <c r="L4" s="4" t="s">
        <v>3</v>
      </c>
    </row>
    <row r="5" spans="1:12" x14ac:dyDescent="0.2">
      <c r="A5" s="4" t="s">
        <v>10</v>
      </c>
      <c r="B5" s="4" t="s">
        <v>11</v>
      </c>
      <c r="C5" s="5">
        <v>0</v>
      </c>
      <c r="D5" s="3">
        <v>0</v>
      </c>
      <c r="E5" s="3">
        <v>44.95</v>
      </c>
      <c r="F5" s="3">
        <v>50.95</v>
      </c>
      <c r="G5" s="3">
        <v>-6</v>
      </c>
      <c r="H5" s="3">
        <v>0</v>
      </c>
      <c r="I5" s="2">
        <v>80</v>
      </c>
      <c r="J5" s="3">
        <v>-4.8</v>
      </c>
      <c r="K5" s="6" t="s">
        <v>12</v>
      </c>
      <c r="L5" s="4" t="s">
        <v>3</v>
      </c>
    </row>
    <row r="6" spans="1:12" x14ac:dyDescent="0.2">
      <c r="A6" s="4" t="s">
        <v>13</v>
      </c>
      <c r="B6" s="4" t="s">
        <v>14</v>
      </c>
      <c r="C6" s="5">
        <v>895</v>
      </c>
      <c r="D6" s="3">
        <v>235365.88</v>
      </c>
      <c r="E6" s="3">
        <v>1660.87</v>
      </c>
      <c r="F6" s="3">
        <v>6442.41</v>
      </c>
      <c r="G6" s="19">
        <v>-4781.54</v>
      </c>
      <c r="H6" s="3">
        <v>-2.0299999999999998</v>
      </c>
      <c r="I6" s="2">
        <v>80</v>
      </c>
      <c r="J6" s="18">
        <v>1199.0899999999999</v>
      </c>
      <c r="K6" s="6" t="s">
        <v>9</v>
      </c>
      <c r="L6" s="4" t="s">
        <v>3</v>
      </c>
    </row>
    <row r="7" spans="1:12" x14ac:dyDescent="0.2">
      <c r="A7" s="4" t="s">
        <v>15</v>
      </c>
      <c r="B7" s="4" t="s">
        <v>16</v>
      </c>
      <c r="C7" s="5">
        <v>0</v>
      </c>
      <c r="D7" s="3">
        <v>0</v>
      </c>
      <c r="E7" s="3">
        <v>25</v>
      </c>
      <c r="F7" s="3">
        <v>12.58</v>
      </c>
      <c r="G7" s="3">
        <v>12.42</v>
      </c>
      <c r="H7" s="3">
        <v>0</v>
      </c>
      <c r="I7" s="2">
        <v>80</v>
      </c>
      <c r="J7" s="3">
        <v>9.94</v>
      </c>
      <c r="K7" s="6" t="s">
        <v>2</v>
      </c>
      <c r="L7" s="4" t="s">
        <v>3</v>
      </c>
    </row>
    <row r="8" spans="1:12" x14ac:dyDescent="0.2">
      <c r="A8" s="4" t="s">
        <v>17</v>
      </c>
      <c r="B8" s="4" t="s">
        <v>18</v>
      </c>
      <c r="C8" s="5">
        <v>1</v>
      </c>
      <c r="D8" s="3">
        <v>70</v>
      </c>
      <c r="E8" s="3">
        <v>45</v>
      </c>
      <c r="F8" s="3">
        <v>39.01</v>
      </c>
      <c r="G8" s="3">
        <v>5.99</v>
      </c>
      <c r="H8" s="3">
        <v>8.56</v>
      </c>
      <c r="I8" s="2">
        <v>80</v>
      </c>
      <c r="J8" s="3">
        <v>4.79</v>
      </c>
      <c r="K8" s="6" t="s">
        <v>12</v>
      </c>
      <c r="L8" s="4" t="s">
        <v>3</v>
      </c>
    </row>
    <row r="9" spans="1:12" x14ac:dyDescent="0.2">
      <c r="A9" s="4" t="s">
        <v>19</v>
      </c>
      <c r="B9" s="4" t="s">
        <v>20</v>
      </c>
      <c r="C9" s="5">
        <v>20</v>
      </c>
      <c r="D9" s="3">
        <v>15816.52</v>
      </c>
      <c r="E9" s="3">
        <v>556.1</v>
      </c>
      <c r="F9" s="3">
        <v>469.98</v>
      </c>
      <c r="G9" s="3">
        <v>86.12</v>
      </c>
      <c r="H9" s="3">
        <v>0.54</v>
      </c>
      <c r="I9" s="2">
        <v>80</v>
      </c>
      <c r="J9" s="3">
        <v>68.900000000000006</v>
      </c>
      <c r="K9" s="6" t="s">
        <v>12</v>
      </c>
      <c r="L9" s="4" t="s">
        <v>3</v>
      </c>
    </row>
    <row r="10" spans="1:12" x14ac:dyDescent="0.2">
      <c r="A10" s="4" t="s">
        <v>21</v>
      </c>
      <c r="B10" s="4" t="s">
        <v>22</v>
      </c>
      <c r="C10" s="5">
        <v>2</v>
      </c>
      <c r="D10" s="3">
        <v>4141.04</v>
      </c>
      <c r="E10" s="3">
        <v>140.06</v>
      </c>
      <c r="F10" s="3">
        <v>144.08000000000001</v>
      </c>
      <c r="G10" s="3">
        <v>-4.0199999999999996</v>
      </c>
      <c r="H10" s="3">
        <v>-0.1</v>
      </c>
      <c r="I10" s="2">
        <v>80</v>
      </c>
      <c r="J10" s="3">
        <v>-3.22</v>
      </c>
      <c r="K10" s="6" t="s">
        <v>9</v>
      </c>
      <c r="L10" s="4" t="s">
        <v>3</v>
      </c>
    </row>
    <row r="11" spans="1:12" x14ac:dyDescent="0.2">
      <c r="A11" s="7" t="s">
        <v>35</v>
      </c>
      <c r="B11" s="7" t="s">
        <v>36</v>
      </c>
      <c r="C11" s="8">
        <v>60</v>
      </c>
      <c r="D11" s="9">
        <v>24304.39</v>
      </c>
      <c r="E11" s="9">
        <v>987.52</v>
      </c>
      <c r="F11" s="9">
        <v>476.99</v>
      </c>
      <c r="G11" s="9">
        <v>510.53</v>
      </c>
      <c r="H11" s="9">
        <v>2.1</v>
      </c>
      <c r="I11" s="10">
        <v>80</v>
      </c>
      <c r="J11" s="9">
        <v>408.42</v>
      </c>
      <c r="K11" s="11" t="s">
        <v>37</v>
      </c>
      <c r="L11" s="7" t="s">
        <v>3</v>
      </c>
    </row>
    <row r="12" spans="1:12" x14ac:dyDescent="0.2">
      <c r="A12" s="7" t="s">
        <v>38</v>
      </c>
      <c r="B12" s="7" t="s">
        <v>39</v>
      </c>
      <c r="C12" s="8">
        <v>23</v>
      </c>
      <c r="D12" s="9">
        <v>857.96</v>
      </c>
      <c r="E12" s="9">
        <v>70.88</v>
      </c>
      <c r="F12" s="9">
        <v>59.25</v>
      </c>
      <c r="G12" s="9">
        <v>11.63</v>
      </c>
      <c r="H12" s="9">
        <v>1.36</v>
      </c>
      <c r="I12" s="10">
        <v>80</v>
      </c>
      <c r="J12" s="9">
        <v>9.3000000000000007</v>
      </c>
      <c r="K12" s="11" t="s">
        <v>6</v>
      </c>
      <c r="L12" s="7" t="s">
        <v>3</v>
      </c>
    </row>
    <row r="13" spans="1:12" x14ac:dyDescent="0.2">
      <c r="A13" s="7" t="s">
        <v>40</v>
      </c>
      <c r="B13" s="7" t="s">
        <v>41</v>
      </c>
      <c r="C13" s="8">
        <v>80</v>
      </c>
      <c r="D13" s="9">
        <v>1605.68</v>
      </c>
      <c r="E13" s="9">
        <v>95.62</v>
      </c>
      <c r="F13" s="9">
        <v>64.319999999999993</v>
      </c>
      <c r="G13" s="9">
        <v>31.3</v>
      </c>
      <c r="H13" s="9">
        <v>1.95</v>
      </c>
      <c r="I13" s="10">
        <v>80</v>
      </c>
      <c r="J13" s="9">
        <v>25.04</v>
      </c>
      <c r="K13" s="11" t="s">
        <v>6</v>
      </c>
      <c r="L13" s="7" t="s">
        <v>3</v>
      </c>
    </row>
    <row r="14" spans="1:12" x14ac:dyDescent="0.2">
      <c r="A14" s="15" t="s">
        <v>42</v>
      </c>
      <c r="B14" s="15" t="s">
        <v>43</v>
      </c>
      <c r="C14" s="16">
        <v>32</v>
      </c>
      <c r="D14" s="14">
        <v>5105.16</v>
      </c>
      <c r="E14" s="14">
        <v>143.59</v>
      </c>
      <c r="F14" s="14">
        <v>106.72</v>
      </c>
      <c r="G14" s="14">
        <v>36.869999999999997</v>
      </c>
      <c r="H14" s="14">
        <v>0.72</v>
      </c>
      <c r="I14" s="13">
        <v>80</v>
      </c>
      <c r="J14" s="14">
        <v>29.5</v>
      </c>
      <c r="K14" s="17" t="s">
        <v>2</v>
      </c>
      <c r="L14" s="15" t="s">
        <v>3</v>
      </c>
    </row>
    <row r="15" spans="1:12" x14ac:dyDescent="0.2">
      <c r="A15" s="15" t="s">
        <v>44</v>
      </c>
      <c r="B15" s="15" t="s">
        <v>45</v>
      </c>
      <c r="C15" s="16">
        <v>70</v>
      </c>
      <c r="D15" s="14">
        <v>3410.6</v>
      </c>
      <c r="E15" s="14">
        <v>116.11</v>
      </c>
      <c r="F15" s="14">
        <v>77.77</v>
      </c>
      <c r="G15" s="14">
        <v>38.340000000000003</v>
      </c>
      <c r="H15" s="14">
        <v>1.1200000000000001</v>
      </c>
      <c r="I15" s="13">
        <v>80</v>
      </c>
      <c r="J15" s="14">
        <v>30.67</v>
      </c>
      <c r="K15" s="17" t="s">
        <v>2</v>
      </c>
      <c r="L15" s="15" t="s">
        <v>3</v>
      </c>
    </row>
    <row r="16" spans="1:12" x14ac:dyDescent="0.2">
      <c r="A16" s="15" t="s">
        <v>46</v>
      </c>
      <c r="B16" s="15" t="s">
        <v>47</v>
      </c>
      <c r="C16" s="16">
        <v>40</v>
      </c>
      <c r="D16" s="14">
        <v>4117.41</v>
      </c>
      <c r="E16" s="14">
        <v>146.6</v>
      </c>
      <c r="F16" s="14">
        <v>117.24</v>
      </c>
      <c r="G16" s="14">
        <v>29.36</v>
      </c>
      <c r="H16" s="14">
        <v>0.71</v>
      </c>
      <c r="I16" s="13">
        <v>80</v>
      </c>
      <c r="J16" s="14">
        <v>23.49</v>
      </c>
      <c r="K16" s="17" t="s">
        <v>9</v>
      </c>
      <c r="L16" s="15" t="s">
        <v>3</v>
      </c>
    </row>
    <row r="17" spans="1:12" x14ac:dyDescent="0.2">
      <c r="A17" s="15" t="s">
        <v>42</v>
      </c>
      <c r="B17" s="15" t="s">
        <v>43</v>
      </c>
      <c r="C17" s="14" t="s">
        <v>48</v>
      </c>
      <c r="D17" s="14">
        <v>0</v>
      </c>
      <c r="E17" s="14">
        <v>6.95</v>
      </c>
      <c r="F17" s="13">
        <v>-6.95</v>
      </c>
      <c r="I17" s="13">
        <v>80</v>
      </c>
      <c r="J17" s="14">
        <v>-5.56</v>
      </c>
      <c r="K17" s="12"/>
      <c r="L17" s="12"/>
    </row>
    <row r="18" spans="1:12" x14ac:dyDescent="0.2">
      <c r="A18" s="15" t="s">
        <v>44</v>
      </c>
      <c r="B18" s="15" t="s">
        <v>45</v>
      </c>
      <c r="C18" s="14" t="s">
        <v>49</v>
      </c>
      <c r="D18" s="14">
        <v>0</v>
      </c>
      <c r="E18" s="14">
        <v>6.95</v>
      </c>
      <c r="F18" s="13">
        <v>-6.95</v>
      </c>
      <c r="I18" s="13">
        <v>80</v>
      </c>
      <c r="J18" s="14">
        <v>-5.56</v>
      </c>
      <c r="K18" s="12"/>
      <c r="L18" s="12"/>
    </row>
    <row r="19" spans="1:12" x14ac:dyDescent="0.2">
      <c r="A19" s="15" t="s">
        <v>42</v>
      </c>
      <c r="B19" s="15" t="s">
        <v>43</v>
      </c>
      <c r="C19" s="14" t="s">
        <v>50</v>
      </c>
      <c r="D19" s="14">
        <v>0</v>
      </c>
      <c r="E19" s="14">
        <v>0</v>
      </c>
      <c r="F19" s="13">
        <v>0</v>
      </c>
      <c r="G19" s="15" t="s">
        <v>63</v>
      </c>
      <c r="I19" s="13">
        <v>0.8</v>
      </c>
      <c r="J19" s="20">
        <f>I19*G19</f>
        <v>-20</v>
      </c>
      <c r="K19" s="12"/>
      <c r="L19" s="12"/>
    </row>
    <row r="20" spans="1:12" x14ac:dyDescent="0.2">
      <c r="A20" s="15" t="s">
        <v>44</v>
      </c>
      <c r="B20" s="15" t="s">
        <v>45</v>
      </c>
      <c r="C20" s="14" t="s">
        <v>51</v>
      </c>
      <c r="D20" s="14">
        <v>0</v>
      </c>
      <c r="E20" s="14">
        <v>0</v>
      </c>
      <c r="F20" s="13">
        <v>0</v>
      </c>
      <c r="G20" s="15" t="s">
        <v>63</v>
      </c>
      <c r="I20" s="13">
        <v>0.8</v>
      </c>
      <c r="J20" s="20">
        <f>I20*G20</f>
        <v>-20</v>
      </c>
      <c r="K20" s="12"/>
      <c r="L20" s="12"/>
    </row>
    <row r="21" spans="1:12" x14ac:dyDescent="0.2">
      <c r="A21" s="7" t="s">
        <v>52</v>
      </c>
      <c r="B21" s="7" t="s">
        <v>53</v>
      </c>
      <c r="C21" s="8">
        <v>16</v>
      </c>
      <c r="D21" s="9">
        <v>8504</v>
      </c>
      <c r="E21" s="9">
        <v>170.58</v>
      </c>
      <c r="F21" s="9">
        <v>128.41999999999999</v>
      </c>
      <c r="G21" s="9">
        <v>42.16</v>
      </c>
      <c r="H21" s="9">
        <v>0.5</v>
      </c>
      <c r="I21" s="10">
        <v>80</v>
      </c>
      <c r="J21" s="9">
        <v>33.729999999999997</v>
      </c>
      <c r="K21" s="11" t="s">
        <v>54</v>
      </c>
      <c r="L21" s="7" t="s">
        <v>3</v>
      </c>
    </row>
    <row r="22" spans="1:12" x14ac:dyDescent="0.2">
      <c r="A22" s="7" t="s">
        <v>55</v>
      </c>
      <c r="B22" s="7" t="s">
        <v>56</v>
      </c>
      <c r="C22" s="8">
        <v>83</v>
      </c>
      <c r="D22" s="9">
        <v>46734.84</v>
      </c>
      <c r="E22" s="9">
        <v>1820.02</v>
      </c>
      <c r="F22" s="9">
        <v>942.94</v>
      </c>
      <c r="G22" s="9">
        <v>877.08</v>
      </c>
      <c r="H22" s="9">
        <v>1.88</v>
      </c>
      <c r="I22" s="10">
        <v>80</v>
      </c>
      <c r="J22" s="9">
        <v>701.66</v>
      </c>
      <c r="K22" s="11" t="s">
        <v>6</v>
      </c>
      <c r="L22" s="7" t="s">
        <v>3</v>
      </c>
    </row>
    <row r="23" spans="1:12" x14ac:dyDescent="0.2">
      <c r="A23" s="7" t="s">
        <v>57</v>
      </c>
      <c r="B23" s="7" t="s">
        <v>58</v>
      </c>
      <c r="C23" s="8">
        <v>1</v>
      </c>
      <c r="D23" s="9">
        <v>52.01</v>
      </c>
      <c r="E23" s="9">
        <v>31.12</v>
      </c>
      <c r="F23" s="9">
        <v>24.4</v>
      </c>
      <c r="G23" s="9">
        <v>6.72</v>
      </c>
      <c r="H23" s="9">
        <v>12.92</v>
      </c>
      <c r="I23" s="10">
        <v>80</v>
      </c>
      <c r="J23" s="9">
        <v>5.38</v>
      </c>
      <c r="K23" s="11" t="s">
        <v>59</v>
      </c>
      <c r="L23" s="7" t="s">
        <v>3</v>
      </c>
    </row>
    <row r="24" spans="1:12" x14ac:dyDescent="0.2">
      <c r="A24" s="7" t="s">
        <v>60</v>
      </c>
      <c r="B24" s="7" t="s">
        <v>61</v>
      </c>
      <c r="C24" s="8">
        <v>10153</v>
      </c>
      <c r="D24" s="9">
        <v>3895501.63</v>
      </c>
      <c r="E24" s="9">
        <v>74230.62</v>
      </c>
      <c r="F24" s="9">
        <v>86639.95</v>
      </c>
      <c r="G24" s="9">
        <v>-12409.33</v>
      </c>
      <c r="H24" s="9">
        <v>-0.32</v>
      </c>
      <c r="I24" s="10">
        <v>80</v>
      </c>
      <c r="J24" s="18">
        <v>1910.71</v>
      </c>
      <c r="K24" s="11" t="s">
        <v>62</v>
      </c>
      <c r="L24" s="7" t="s">
        <v>3</v>
      </c>
    </row>
    <row r="25" spans="1:12" x14ac:dyDescent="0.2">
      <c r="A25" s="7"/>
      <c r="B25" s="7"/>
      <c r="C25" s="8"/>
      <c r="D25" s="9"/>
      <c r="E25" s="9"/>
      <c r="F25" s="9"/>
      <c r="G25" s="9"/>
      <c r="H25" s="9"/>
      <c r="I25" s="10"/>
      <c r="K25" s="11"/>
      <c r="L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</dc:creator>
  <cp:lastModifiedBy>Cody Burnell</cp:lastModifiedBy>
  <dcterms:created xsi:type="dcterms:W3CDTF">2025-09-29T15:58:52Z</dcterms:created>
  <dcterms:modified xsi:type="dcterms:W3CDTF">2025-09-29T18:08:22Z</dcterms:modified>
</cp:coreProperties>
</file>