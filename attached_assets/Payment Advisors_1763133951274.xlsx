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onu-my.sharepoint.com/personal/cburnell_cocard_net/Documents/Cash Advance Payouts/Review 2025/"/>
    </mc:Choice>
  </mc:AlternateContent>
  <xr:revisionPtr revIDLastSave="0" documentId="8_{BC0DBF13-AB25-2346-ABDD-9B64F772B279}" xr6:coauthVersionLast="47" xr6:coauthVersionMax="47" xr10:uidLastSave="{00000000-0000-0000-0000-000000000000}"/>
  <bookViews>
    <workbookView xWindow="5520" yWindow="2300" windowWidth="27700" windowHeight="16940" activeTab="6" xr2:uid="{788DEB02-5597-BC48-96B0-07E9428EA309}"/>
  </bookViews>
  <sheets>
    <sheet name="January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4" i="5"/>
  <c r="H3" i="5"/>
  <c r="H2" i="5"/>
</calcChain>
</file>

<file path=xl/sharedStrings.xml><?xml version="1.0" encoding="utf-8"?>
<sst xmlns="http://schemas.openxmlformats.org/spreadsheetml/2006/main" count="110" uniqueCount="30">
  <si>
    <t>Merchant ID</t>
  </si>
  <si>
    <t>Merchant</t>
  </si>
  <si>
    <t>Transactions</t>
  </si>
  <si>
    <t>Sales Amount</t>
  </si>
  <si>
    <t>Income</t>
  </si>
  <si>
    <t>Expenses</t>
  </si>
  <si>
    <t>Net</t>
  </si>
  <si>
    <t>BPS</t>
  </si>
  <si>
    <t>%</t>
  </si>
  <si>
    <t>Agent Net</t>
  </si>
  <si>
    <t>Branch Number</t>
  </si>
  <si>
    <t>MYGENICS</t>
  </si>
  <si>
    <t>4013</t>
  </si>
  <si>
    <t>MZBEE'S BAIL BONDS</t>
  </si>
  <si>
    <t>4007</t>
  </si>
  <si>
    <t>SOUTHEASTERN PUMP</t>
  </si>
  <si>
    <t>4203</t>
  </si>
  <si>
    <t>STORM MASTER CONTSTRUCTION</t>
  </si>
  <si>
    <t>4601</t>
  </si>
  <si>
    <t>Branch ID</t>
  </si>
  <si>
    <t>50110225086</t>
  </si>
  <si>
    <t>50110146027</t>
  </si>
  <si>
    <t>50110105916</t>
  </si>
  <si>
    <t>50110210815</t>
  </si>
  <si>
    <t>Merchant Id</t>
  </si>
  <si>
    <t>Merchant Name</t>
  </si>
  <si>
    <t>Transaction</t>
  </si>
  <si>
    <t>Bank Payout</t>
  </si>
  <si>
    <t>30119841040</t>
  </si>
  <si>
    <t>TRAVEL WITH 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</si>
</sst>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b/>
      <sz val="11"/>
      <color indexed="9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indexed="9"/>
      <name val="Arial Unicode MS"/>
      <family val="2"/>
    </font>
    <font>
      <sz val="12"/>
      <color theme="1"/>
      <name val="Arial Unicode MS"/>
      <family val="2"/>
    </font>
    <font>
      <sz val="12"/>
      <name val="Arial Unicode MS"/>
      <family val="2"/>
    </font>
    <font>
      <sz val="12"/>
      <color rgb="FF000000"/>
      <name val="Arial Unicode MS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 Unicode MS"/>
      <family val="2"/>
    </font>
    <font>
      <sz val="11"/>
      <color rgb="FF000000"/>
      <name val="Arial Unicode MS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0066CC"/>
        <bgColor rgb="FF000000"/>
      </patternFill>
    </fill>
    <fill>
      <patternFill patternType="solid">
        <fgColor rgb="FFDBDBDB"/>
        <bgColor rgb="FF00000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right"/>
    </xf>
    <xf numFmtId="0" fontId="5" fillId="2" borderId="5" xfId="0" applyFont="1" applyFill="1" applyBorder="1"/>
    <xf numFmtId="49" fontId="6" fillId="0" borderId="5" xfId="0" applyNumberFormat="1" applyFont="1" applyBorder="1"/>
    <xf numFmtId="1" fontId="6" fillId="0" borderId="5" xfId="0" applyNumberFormat="1" applyFont="1" applyBorder="1"/>
    <xf numFmtId="2" fontId="6" fillId="0" borderId="5" xfId="0" applyNumberFormat="1" applyFont="1" applyBorder="1"/>
    <xf numFmtId="0" fontId="6" fillId="0" borderId="5" xfId="0" applyFont="1" applyBorder="1"/>
    <xf numFmtId="49" fontId="7" fillId="0" borderId="4" xfId="0" applyNumberFormat="1" applyFont="1" applyBorder="1" applyAlignment="1">
      <alignment horizontal="right"/>
    </xf>
    <xf numFmtId="0" fontId="8" fillId="0" borderId="0" xfId="0" applyFont="1"/>
    <xf numFmtId="49" fontId="9" fillId="4" borderId="0" xfId="0" applyNumberFormat="1" applyFont="1" applyFill="1" applyAlignment="1">
      <alignment vertical="top"/>
    </xf>
    <xf numFmtId="0" fontId="10" fillId="0" borderId="0" xfId="0" applyFont="1"/>
    <xf numFmtId="9" fontId="10" fillId="0" borderId="0" xfId="0" applyNumberFormat="1" applyFont="1"/>
    <xf numFmtId="0" fontId="11" fillId="0" borderId="0" xfId="0" applyFont="1"/>
    <xf numFmtId="0" fontId="12" fillId="0" borderId="0" xfId="0" applyFont="1"/>
    <xf numFmtId="9" fontId="12" fillId="0" borderId="0" xfId="0" applyNumberFormat="1" applyFont="1"/>
    <xf numFmtId="49" fontId="13" fillId="0" borderId="0" xfId="0" applyNumberFormat="1" applyFont="1" applyAlignment="1">
      <alignment vertical="top"/>
    </xf>
    <xf numFmtId="0" fontId="14" fillId="0" borderId="0" xfId="0" applyFont="1"/>
    <xf numFmtId="9" fontId="14" fillId="0" borderId="0" xfId="0" applyNumberFormat="1" applyFont="1"/>
    <xf numFmtId="2" fontId="14" fillId="0" borderId="0" xfId="0" applyNumberFormat="1" applyFont="1"/>
    <xf numFmtId="49" fontId="15" fillId="0" borderId="0" xfId="0" applyNumberFormat="1" applyFont="1" applyAlignment="1">
      <alignment vertical="top"/>
    </xf>
    <xf numFmtId="49" fontId="16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9" fontId="16" fillId="0" borderId="0" xfId="0" applyNumberFormat="1" applyFont="1" applyAlignment="1">
      <alignment vertical="top"/>
    </xf>
    <xf numFmtId="49" fontId="17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top"/>
    </xf>
    <xf numFmtId="49" fontId="18" fillId="0" borderId="0" xfId="0" applyNumberFormat="1" applyFont="1"/>
    <xf numFmtId="1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847F-021D-F548-8E97-B5C927D2D166}">
  <dimension ref="A1:K5"/>
  <sheetViews>
    <sheetView workbookViewId="0">
      <selection activeCell="C26" sqref="C26"/>
    </sheetView>
  </sheetViews>
  <sheetFormatPr baseColWidth="10" defaultRowHeight="16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>
        <v>50110225086</v>
      </c>
      <c r="B2" s="3" t="s">
        <v>11</v>
      </c>
      <c r="C2" s="3">
        <v>0</v>
      </c>
      <c r="D2" s="3">
        <v>0</v>
      </c>
      <c r="E2" s="3">
        <v>0</v>
      </c>
      <c r="F2" s="3">
        <v>-32.299999999999997</v>
      </c>
      <c r="G2" s="3">
        <v>32.299999999999997</v>
      </c>
      <c r="H2" s="3">
        <v>0</v>
      </c>
      <c r="I2" s="3">
        <v>35</v>
      </c>
      <c r="J2" s="3">
        <v>11.31</v>
      </c>
      <c r="K2" s="4" t="s">
        <v>12</v>
      </c>
    </row>
    <row r="3" spans="1:11">
      <c r="A3" s="3">
        <v>50110146027</v>
      </c>
      <c r="B3" s="3" t="s">
        <v>13</v>
      </c>
      <c r="C3" s="3">
        <v>13</v>
      </c>
      <c r="D3" s="3">
        <v>44600</v>
      </c>
      <c r="E3" s="3">
        <v>0</v>
      </c>
      <c r="F3" s="3">
        <v>-171.44</v>
      </c>
      <c r="G3" s="3">
        <v>171.44</v>
      </c>
      <c r="H3" s="3">
        <v>0.38</v>
      </c>
      <c r="I3" s="3">
        <v>35</v>
      </c>
      <c r="J3" s="3">
        <v>60</v>
      </c>
      <c r="K3" s="4" t="s">
        <v>14</v>
      </c>
    </row>
    <row r="4" spans="1:11">
      <c r="A4" s="3">
        <v>50110105916</v>
      </c>
      <c r="B4" s="3" t="s">
        <v>15</v>
      </c>
      <c r="C4" s="3">
        <v>54</v>
      </c>
      <c r="D4" s="3">
        <v>166204.4</v>
      </c>
      <c r="E4" s="3">
        <v>0</v>
      </c>
      <c r="F4" s="3">
        <v>-628.52</v>
      </c>
      <c r="G4" s="3">
        <v>628.52</v>
      </c>
      <c r="H4" s="3">
        <v>0.38</v>
      </c>
      <c r="I4" s="3">
        <v>35</v>
      </c>
      <c r="J4" s="3">
        <v>219.98</v>
      </c>
      <c r="K4" s="4" t="s">
        <v>16</v>
      </c>
    </row>
    <row r="5" spans="1:11">
      <c r="A5" s="3">
        <v>50110210815</v>
      </c>
      <c r="B5" s="3" t="s">
        <v>17</v>
      </c>
      <c r="C5" s="3">
        <v>0</v>
      </c>
      <c r="D5" s="3">
        <v>0</v>
      </c>
      <c r="E5" s="3">
        <v>0</v>
      </c>
      <c r="F5" s="3">
        <v>-20.07</v>
      </c>
      <c r="G5" s="3">
        <v>20.07</v>
      </c>
      <c r="H5" s="3">
        <v>0</v>
      </c>
      <c r="I5" s="3">
        <v>35</v>
      </c>
      <c r="J5" s="3">
        <v>7.02</v>
      </c>
      <c r="K5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3562-3D04-6F4E-B994-42464D4221BC}">
  <dimension ref="A1:K5"/>
  <sheetViews>
    <sheetView workbookViewId="0">
      <selection sqref="A1:K5"/>
    </sheetView>
  </sheetViews>
  <sheetFormatPr baseColWidth="10" defaultRowHeight="16"/>
  <sheetData>
    <row r="1" spans="1:11" ht="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19</v>
      </c>
    </row>
    <row r="2" spans="1:11" ht="18">
      <c r="A2" s="6" t="s">
        <v>20</v>
      </c>
      <c r="B2" s="6" t="s">
        <v>11</v>
      </c>
      <c r="C2" s="7">
        <v>0</v>
      </c>
      <c r="D2" s="8">
        <v>0</v>
      </c>
      <c r="E2" s="8">
        <v>0</v>
      </c>
      <c r="F2" s="8">
        <v>0</v>
      </c>
      <c r="G2" s="8">
        <v>46.39</v>
      </c>
      <c r="H2" s="8">
        <v>0</v>
      </c>
      <c r="I2" s="9">
        <v>35</v>
      </c>
      <c r="J2" s="8">
        <v>16.236499999999999</v>
      </c>
      <c r="K2" s="10" t="s">
        <v>12</v>
      </c>
    </row>
    <row r="3" spans="1:11" ht="18">
      <c r="A3" s="6" t="s">
        <v>21</v>
      </c>
      <c r="B3" s="6" t="s">
        <v>13</v>
      </c>
      <c r="C3" s="7">
        <v>0</v>
      </c>
      <c r="D3" s="8">
        <v>0</v>
      </c>
      <c r="E3" s="8">
        <v>0</v>
      </c>
      <c r="F3" s="8">
        <v>0</v>
      </c>
      <c r="G3" s="8">
        <v>35.89</v>
      </c>
      <c r="H3" s="8">
        <v>0</v>
      </c>
      <c r="I3" s="9">
        <v>35</v>
      </c>
      <c r="J3" s="8">
        <v>12.561499999999999</v>
      </c>
      <c r="K3" s="10" t="s">
        <v>14</v>
      </c>
    </row>
    <row r="4" spans="1:11" ht="18">
      <c r="A4" s="6" t="s">
        <v>22</v>
      </c>
      <c r="B4" s="6" t="s">
        <v>15</v>
      </c>
      <c r="C4" s="11">
        <v>40</v>
      </c>
      <c r="D4" s="11">
        <v>150669.37</v>
      </c>
      <c r="E4" s="11">
        <v>0</v>
      </c>
      <c r="F4" s="11">
        <v>0</v>
      </c>
      <c r="G4" s="8">
        <v>589.66999999999996</v>
      </c>
      <c r="H4" s="8">
        <v>0</v>
      </c>
      <c r="I4" s="9">
        <v>35</v>
      </c>
      <c r="J4" s="8">
        <v>206.38449999999997</v>
      </c>
      <c r="K4" s="10" t="s">
        <v>16</v>
      </c>
    </row>
    <row r="5" spans="1:11" ht="18">
      <c r="A5" s="6" t="s">
        <v>23</v>
      </c>
      <c r="B5" s="6" t="s">
        <v>17</v>
      </c>
      <c r="C5" s="7">
        <v>0</v>
      </c>
      <c r="D5" s="8">
        <v>0</v>
      </c>
      <c r="E5" s="8">
        <v>0</v>
      </c>
      <c r="F5" s="8">
        <v>0</v>
      </c>
      <c r="G5" s="8">
        <v>22.3</v>
      </c>
      <c r="H5" s="8">
        <v>0</v>
      </c>
      <c r="I5" s="9">
        <v>35</v>
      </c>
      <c r="J5" s="8">
        <v>7.8049999999999997</v>
      </c>
      <c r="K5" s="1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E375-0E6C-1346-BBE0-973999D3F4A5}">
  <dimension ref="A1:I4"/>
  <sheetViews>
    <sheetView workbookViewId="0">
      <selection sqref="A1:I4"/>
    </sheetView>
  </sheetViews>
  <sheetFormatPr baseColWidth="10" defaultRowHeight="16"/>
  <sheetData>
    <row r="1" spans="1:9">
      <c r="A1" s="12" t="s">
        <v>24</v>
      </c>
      <c r="B1" s="13" t="s">
        <v>25</v>
      </c>
      <c r="C1" s="13" t="s">
        <v>26</v>
      </c>
      <c r="D1" s="13" t="s">
        <v>3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19</v>
      </c>
    </row>
    <row r="2" spans="1:9">
      <c r="A2" s="12" t="s">
        <v>20</v>
      </c>
      <c r="B2" s="13" t="s">
        <v>11</v>
      </c>
      <c r="C2" s="13">
        <v>0</v>
      </c>
      <c r="D2" s="13">
        <v>0</v>
      </c>
      <c r="E2" s="13">
        <v>32.299999999999997</v>
      </c>
      <c r="F2" s="13">
        <v>0</v>
      </c>
      <c r="G2" s="14">
        <v>0.35</v>
      </c>
      <c r="H2" s="13">
        <v>11.31</v>
      </c>
      <c r="I2" s="13">
        <v>4013</v>
      </c>
    </row>
    <row r="3" spans="1:9">
      <c r="A3" s="12" t="s">
        <v>22</v>
      </c>
      <c r="B3" s="13" t="s">
        <v>15</v>
      </c>
      <c r="C3" s="13">
        <v>49</v>
      </c>
      <c r="D3" s="13">
        <v>121376.52</v>
      </c>
      <c r="E3" s="13">
        <v>470.51</v>
      </c>
      <c r="F3" s="13">
        <v>0.39</v>
      </c>
      <c r="G3" s="14">
        <v>0.35</v>
      </c>
      <c r="H3" s="13">
        <v>164.68</v>
      </c>
      <c r="I3" s="13">
        <v>4601</v>
      </c>
    </row>
    <row r="4" spans="1:9">
      <c r="A4" s="12" t="s">
        <v>23</v>
      </c>
      <c r="B4" s="13" t="s">
        <v>17</v>
      </c>
      <c r="C4" s="13">
        <v>0</v>
      </c>
      <c r="D4" s="13">
        <v>0</v>
      </c>
      <c r="E4" s="13">
        <v>20.07</v>
      </c>
      <c r="F4" s="13">
        <v>0</v>
      </c>
      <c r="G4" s="14">
        <v>0.35</v>
      </c>
      <c r="H4" s="13">
        <v>7.02</v>
      </c>
      <c r="I4" s="13">
        <v>4601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155E-F4E3-9C45-8919-4801E5ECFC03}">
  <dimension ref="A1:I4"/>
  <sheetViews>
    <sheetView workbookViewId="0">
      <selection sqref="A1:I4"/>
    </sheetView>
  </sheetViews>
  <sheetFormatPr baseColWidth="10" defaultRowHeight="16"/>
  <sheetData>
    <row r="1" spans="1:9">
      <c r="A1" s="15" t="s">
        <v>24</v>
      </c>
      <c r="B1" s="16" t="s">
        <v>25</v>
      </c>
      <c r="C1" s="16" t="s">
        <v>26</v>
      </c>
      <c r="D1" s="16" t="s">
        <v>3</v>
      </c>
      <c r="E1" s="16" t="s">
        <v>6</v>
      </c>
      <c r="F1" s="16" t="s">
        <v>7</v>
      </c>
      <c r="G1" s="16" t="s">
        <v>8</v>
      </c>
      <c r="H1" s="16" t="s">
        <v>9</v>
      </c>
      <c r="I1" s="16" t="s">
        <v>19</v>
      </c>
    </row>
    <row r="2" spans="1:9">
      <c r="A2" s="15">
        <v>50110225086</v>
      </c>
      <c r="B2" s="16" t="s">
        <v>11</v>
      </c>
      <c r="C2" s="16">
        <v>0</v>
      </c>
      <c r="D2" s="16">
        <v>0</v>
      </c>
      <c r="E2" s="16">
        <v>32.299999999999997</v>
      </c>
      <c r="F2" s="16">
        <v>0</v>
      </c>
      <c r="G2" s="17">
        <v>0.35</v>
      </c>
      <c r="H2" s="16">
        <v>11.31</v>
      </c>
      <c r="I2" s="16">
        <v>4013</v>
      </c>
    </row>
    <row r="3" spans="1:9">
      <c r="A3" s="15">
        <v>50110105916</v>
      </c>
      <c r="B3" s="16" t="s">
        <v>15</v>
      </c>
      <c r="C3" s="16">
        <v>39</v>
      </c>
      <c r="D3" s="16">
        <v>92071.54</v>
      </c>
      <c r="E3" s="16">
        <v>453.15</v>
      </c>
      <c r="F3" s="16">
        <v>0.49</v>
      </c>
      <c r="G3" s="17">
        <v>0.35</v>
      </c>
      <c r="H3" s="16">
        <v>158.6</v>
      </c>
      <c r="I3" s="16">
        <v>4601</v>
      </c>
    </row>
    <row r="4" spans="1:9">
      <c r="A4" s="15">
        <v>50110210815</v>
      </c>
      <c r="B4" s="16" t="s">
        <v>17</v>
      </c>
      <c r="C4" s="16">
        <v>0</v>
      </c>
      <c r="D4" s="16">
        <v>0</v>
      </c>
      <c r="E4" s="16">
        <v>20.07</v>
      </c>
      <c r="F4" s="16">
        <v>0</v>
      </c>
      <c r="G4" s="17">
        <v>0.35</v>
      </c>
      <c r="H4" s="16">
        <v>7.02</v>
      </c>
      <c r="I4" s="16">
        <v>4601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C90DC-0D4D-7845-BC9A-D8900EF63396}">
  <dimension ref="A1:I5"/>
  <sheetViews>
    <sheetView workbookViewId="0">
      <selection sqref="A1:I5"/>
    </sheetView>
  </sheetViews>
  <sheetFormatPr baseColWidth="10" defaultRowHeight="16"/>
  <sheetData>
    <row r="1" spans="1:9" ht="17">
      <c r="A1" s="18" t="s">
        <v>24</v>
      </c>
      <c r="B1" s="19" t="s">
        <v>25</v>
      </c>
      <c r="C1" s="19" t="s">
        <v>26</v>
      </c>
      <c r="D1" s="19" t="s">
        <v>3</v>
      </c>
      <c r="E1" s="19" t="s">
        <v>6</v>
      </c>
      <c r="F1" s="19" t="s">
        <v>7</v>
      </c>
      <c r="G1" s="19" t="s">
        <v>8</v>
      </c>
      <c r="H1" s="19" t="s">
        <v>27</v>
      </c>
      <c r="I1" s="19" t="s">
        <v>19</v>
      </c>
    </row>
    <row r="2" spans="1:9" ht="17">
      <c r="A2" s="18">
        <v>50110225086</v>
      </c>
      <c r="B2" s="19" t="s">
        <v>11</v>
      </c>
      <c r="C2" s="19">
        <v>0</v>
      </c>
      <c r="D2" s="19">
        <v>0</v>
      </c>
      <c r="E2" s="19">
        <v>32.299999999999997</v>
      </c>
      <c r="F2" s="19">
        <v>0</v>
      </c>
      <c r="G2" s="20">
        <v>0.35</v>
      </c>
      <c r="H2" s="21">
        <f>E2*G2</f>
        <v>11.304999999999998</v>
      </c>
      <c r="I2" s="19">
        <v>4013</v>
      </c>
    </row>
    <row r="3" spans="1:9" ht="17">
      <c r="A3" s="18">
        <v>50110105916</v>
      </c>
      <c r="B3" s="19" t="s">
        <v>15</v>
      </c>
      <c r="C3" s="19">
        <v>39</v>
      </c>
      <c r="D3" s="19">
        <v>92071.54</v>
      </c>
      <c r="E3" s="19">
        <v>453.15</v>
      </c>
      <c r="F3" s="19">
        <v>0.39</v>
      </c>
      <c r="G3" s="20">
        <v>0.35</v>
      </c>
      <c r="H3" s="21">
        <f t="shared" ref="H3:H5" si="0">E3*G3</f>
        <v>158.60249999999999</v>
      </c>
      <c r="I3" s="19">
        <v>4601</v>
      </c>
    </row>
    <row r="4" spans="1:9" ht="17">
      <c r="A4" s="18">
        <v>50110210815</v>
      </c>
      <c r="B4" s="19" t="s">
        <v>17</v>
      </c>
      <c r="C4" s="19">
        <v>0</v>
      </c>
      <c r="D4" s="19">
        <v>0</v>
      </c>
      <c r="E4" s="19">
        <v>20.07</v>
      </c>
      <c r="F4" s="19">
        <v>0</v>
      </c>
      <c r="G4" s="20">
        <v>0.35</v>
      </c>
      <c r="H4" s="21">
        <f t="shared" si="0"/>
        <v>7.0244999999999997</v>
      </c>
      <c r="I4" s="19">
        <v>4601</v>
      </c>
    </row>
    <row r="5" spans="1:9" ht="17">
      <c r="A5" s="18" t="s">
        <v>28</v>
      </c>
      <c r="B5" s="19" t="s">
        <v>29</v>
      </c>
      <c r="C5" s="19">
        <v>0</v>
      </c>
      <c r="D5" s="19">
        <v>0</v>
      </c>
      <c r="E5" s="19">
        <v>15.86</v>
      </c>
      <c r="F5" s="19">
        <v>0</v>
      </c>
      <c r="G5" s="20">
        <v>0.35</v>
      </c>
      <c r="H5" s="21">
        <f t="shared" si="0"/>
        <v>5.5509999999999993</v>
      </c>
      <c r="I5" s="19">
        <v>1001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C0655-A389-754C-94C9-B5B87DB45C19}">
  <dimension ref="A1:K4"/>
  <sheetViews>
    <sheetView workbookViewId="0">
      <selection sqref="A1:K4"/>
    </sheetView>
  </sheetViews>
  <sheetFormatPr baseColWidth="10" defaultRowHeight="16"/>
  <sheetData>
    <row r="1" spans="1:11">
      <c r="A1" s="22" t="s">
        <v>24</v>
      </c>
      <c r="B1" s="23" t="s">
        <v>25</v>
      </c>
      <c r="C1" s="23" t="s">
        <v>26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19</v>
      </c>
    </row>
    <row r="2" spans="1:11">
      <c r="A2" s="22">
        <v>50110225086</v>
      </c>
      <c r="B2" s="23" t="s">
        <v>11</v>
      </c>
      <c r="C2" s="24">
        <v>0</v>
      </c>
      <c r="D2" s="24">
        <v>0</v>
      </c>
      <c r="E2" s="24">
        <v>0</v>
      </c>
      <c r="F2" s="24">
        <v>-32.299999999999997</v>
      </c>
      <c r="G2" s="24">
        <v>32.299999999999997</v>
      </c>
      <c r="H2" s="24">
        <v>0</v>
      </c>
      <c r="I2" s="25">
        <v>0.35</v>
      </c>
      <c r="J2" s="24">
        <v>11.31</v>
      </c>
      <c r="K2" s="24">
        <v>4013</v>
      </c>
    </row>
    <row r="3" spans="1:11">
      <c r="A3" s="22">
        <v>50110105916</v>
      </c>
      <c r="B3" s="23" t="s">
        <v>15</v>
      </c>
      <c r="C3" s="24">
        <v>43</v>
      </c>
      <c r="D3" s="24">
        <v>88830.21</v>
      </c>
      <c r="E3" s="24">
        <v>0</v>
      </c>
      <c r="F3" s="24">
        <v>-388.04</v>
      </c>
      <c r="G3" s="24">
        <v>388.04</v>
      </c>
      <c r="H3" s="24">
        <v>0.44</v>
      </c>
      <c r="I3" s="25">
        <v>0.35</v>
      </c>
      <c r="J3" s="24">
        <v>135.81</v>
      </c>
      <c r="K3" s="24">
        <v>4601</v>
      </c>
    </row>
    <row r="4" spans="1:11">
      <c r="A4" s="22">
        <v>30119841040</v>
      </c>
      <c r="B4" s="23" t="s">
        <v>29</v>
      </c>
      <c r="C4" s="24">
        <v>0</v>
      </c>
      <c r="D4" s="24">
        <v>0</v>
      </c>
      <c r="E4" s="24">
        <v>0</v>
      </c>
      <c r="F4" s="24">
        <v>-40.549999999999997</v>
      </c>
      <c r="G4" s="24">
        <v>40.549999999999997</v>
      </c>
      <c r="H4" s="24">
        <v>0</v>
      </c>
      <c r="I4" s="25">
        <v>0.35</v>
      </c>
      <c r="J4" s="24">
        <v>14.19</v>
      </c>
      <c r="K4" s="24">
        <v>1001</v>
      </c>
    </row>
  </sheetData>
  <conditionalFormatting sqref="B1:B4">
    <cfRule type="duplicateValues" dxfId="1" priority="2"/>
  </conditionalFormatting>
  <conditionalFormatting sqref="B1:B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1177-1062-B04A-B258-90F096970DC8}">
  <dimension ref="A1:I3"/>
  <sheetViews>
    <sheetView tabSelected="1" workbookViewId="0">
      <selection sqref="A1:I3"/>
    </sheetView>
  </sheetViews>
  <sheetFormatPr baseColWidth="10" defaultRowHeight="16"/>
  <sheetData>
    <row r="1" spans="1:9">
      <c r="A1" s="26" t="s">
        <v>24</v>
      </c>
      <c r="B1" s="27" t="s">
        <v>25</v>
      </c>
      <c r="C1" s="27" t="s">
        <v>26</v>
      </c>
      <c r="D1" s="27" t="s">
        <v>3</v>
      </c>
      <c r="E1" s="27" t="s">
        <v>6</v>
      </c>
      <c r="F1" s="27" t="s">
        <v>7</v>
      </c>
      <c r="G1" s="27" t="s">
        <v>8</v>
      </c>
      <c r="H1" s="27" t="s">
        <v>9</v>
      </c>
      <c r="I1" s="27" t="s">
        <v>19</v>
      </c>
    </row>
    <row r="2" spans="1:9">
      <c r="A2" s="28" t="s">
        <v>22</v>
      </c>
      <c r="B2" s="28" t="s">
        <v>15</v>
      </c>
      <c r="C2" s="29">
        <v>26</v>
      </c>
      <c r="D2" s="30">
        <v>47613.64</v>
      </c>
      <c r="E2" s="30">
        <v>180.25</v>
      </c>
      <c r="F2" s="30">
        <v>0.38</v>
      </c>
      <c r="G2" s="31">
        <v>35</v>
      </c>
      <c r="H2" s="30">
        <v>63.09</v>
      </c>
      <c r="I2" s="32">
        <v>4601</v>
      </c>
    </row>
    <row r="3" spans="1:9">
      <c r="A3" s="28" t="s">
        <v>28</v>
      </c>
      <c r="B3" s="28" t="s">
        <v>29</v>
      </c>
      <c r="C3" s="29">
        <v>0</v>
      </c>
      <c r="D3" s="30">
        <v>0</v>
      </c>
      <c r="E3" s="30">
        <v>15.86</v>
      </c>
      <c r="F3" s="30">
        <v>0</v>
      </c>
      <c r="G3" s="31">
        <v>35</v>
      </c>
      <c r="H3" s="30">
        <v>5.55</v>
      </c>
      <c r="I3" s="32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January 2025</vt:lpstr>
      <vt:lpstr>Feb 2025</vt:lpstr>
      <vt:lpstr>March 2025</vt:lpstr>
      <vt:lpstr>April 2025</vt:lpstr>
      <vt:lpstr>May 2025</vt:lpstr>
      <vt:lpstr>June 2025</vt:lpstr>
      <vt:lpstr>July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Burnell</dc:creator>
  <cp:lastModifiedBy>Cody Burnell</cp:lastModifiedBy>
  <dcterms:created xsi:type="dcterms:W3CDTF">2025-11-14T15:19:51Z</dcterms:created>
  <dcterms:modified xsi:type="dcterms:W3CDTF">2025-11-14T15:23:48Z</dcterms:modified>
</cp:coreProperties>
</file>