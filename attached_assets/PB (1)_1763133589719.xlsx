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evonu-my.sharepoint.com/personal/cburnell_cocard_net/Documents/Cash Advance Payouts/Review 2025/"/>
    </mc:Choice>
  </mc:AlternateContent>
  <xr:revisionPtr revIDLastSave="10" documentId="8_{B52CA66C-BBA5-B84D-A8FD-6DA8D5916B7A}" xr6:coauthVersionLast="47" xr6:coauthVersionMax="47" xr10:uidLastSave="{2D198644-73DE-6844-84E9-31F8718AF561}"/>
  <bookViews>
    <workbookView xWindow="6340" yWindow="3300" windowWidth="26900" windowHeight="15940" activeTab="2" xr2:uid="{5D75A8CA-3E11-C74F-9262-79E6C38C948A}"/>
  </bookViews>
  <sheets>
    <sheet name="June 2025" sheetId="1" r:id="rId1"/>
    <sheet name="July 2025" sheetId="2" r:id="rId2"/>
    <sheet name="Aug 2025" sheetId="3" r:id="rId3"/>
    <sheet name="Sept 2025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2" l="1"/>
  <c r="H5" i="2"/>
  <c r="H4" i="2"/>
  <c r="H3" i="2"/>
  <c r="H2" i="2"/>
</calcChain>
</file>

<file path=xl/sharedStrings.xml><?xml version="1.0" encoding="utf-8"?>
<sst xmlns="http://schemas.openxmlformats.org/spreadsheetml/2006/main" count="93" uniqueCount="41">
  <si>
    <t>Merchant Id</t>
  </si>
  <si>
    <t>Merchant Name</t>
  </si>
  <si>
    <t>Transaction</t>
  </si>
  <si>
    <t>Sales Amount</t>
  </si>
  <si>
    <t>Net</t>
  </si>
  <si>
    <t>BPS</t>
  </si>
  <si>
    <t>%</t>
  </si>
  <si>
    <t>Bank Payout</t>
  </si>
  <si>
    <t>Branch ID</t>
  </si>
  <si>
    <t>3286748394349254</t>
  </si>
  <si>
    <t>ST. CHARLES COMMUNITY ASSOCIATION INC</t>
  </si>
  <si>
    <t>3286748265921879</t>
  </si>
  <si>
    <t>BIG APPLE BAGEL</t>
  </si>
  <si>
    <t>3286748748433047</t>
  </si>
  <si>
    <t>Extreme RV Repair</t>
  </si>
  <si>
    <t>3286748535143573</t>
  </si>
  <si>
    <t>Michael Bonne Copper Smith</t>
  </si>
  <si>
    <t>5482983600020030</t>
  </si>
  <si>
    <t>Mobile-One Communications</t>
  </si>
  <si>
    <t>5482983600019958</t>
  </si>
  <si>
    <t>Ramsey Paint &amp; Body Inc</t>
  </si>
  <si>
    <t>Income</t>
  </si>
  <si>
    <t>Expenses</t>
  </si>
  <si>
    <t>Agent Net</t>
  </si>
  <si>
    <t>INNOVATIVE DIRECT MARKETING</t>
  </si>
  <si>
    <t>MARATHON LADY</t>
  </si>
  <si>
    <t>RAINTIGHT ROOFING</t>
  </si>
  <si>
    <t>YEAGER ENTERPRISES OF FLORIDA</t>
  </si>
  <si>
    <t>Merchant ID</t>
  </si>
  <si>
    <t>Merchant</t>
  </si>
  <si>
    <t>Transactions</t>
  </si>
  <si>
    <t>Bank Split</t>
  </si>
  <si>
    <t>3286747758055485</t>
  </si>
  <si>
    <t>9033</t>
  </si>
  <si>
    <t>4501</t>
  </si>
  <si>
    <t>3286747770331306</t>
  </si>
  <si>
    <t>CLASSIC CREATIONS IN DIAMONDS AND GOLD I</t>
  </si>
  <si>
    <t>4013</t>
  </si>
  <si>
    <t>4715</t>
  </si>
  <si>
    <t>3286747814027934</t>
  </si>
  <si>
    <t>4506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</si>
</sst>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ArialMT"/>
      <family val="2"/>
    </font>
    <font>
      <b/>
      <sz val="11"/>
      <color rgb="FF000000"/>
      <name val="Arial Unicode MS"/>
      <family val="2"/>
    </font>
    <font>
      <sz val="11"/>
      <color rgb="FF000000"/>
      <name val="Arial Unicode MS"/>
      <family val="2"/>
    </font>
    <font>
      <b/>
      <sz val="10"/>
      <color indexed="8"/>
      <name val="Arial"/>
      <family val="2"/>
    </font>
    <font>
      <sz val="10"/>
      <color theme="1"/>
      <name val="Arial"/>
      <family val="2"/>
    </font>
    <font>
      <b/>
      <sz val="10"/>
      <color rgb="FF000000"/>
      <name val="Helvetica Neue"/>
      <family val="2"/>
    </font>
    <font>
      <sz val="10"/>
      <color rgb="FF000000"/>
      <name val="Helvetica Neue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49" fontId="1" fillId="0" borderId="0" xfId="0" applyNumberFormat="1" applyFont="1" applyAlignment="1">
      <alignment vertical="top"/>
    </xf>
    <xf numFmtId="0" fontId="2" fillId="0" borderId="0" xfId="0" applyFont="1"/>
    <xf numFmtId="9" fontId="2" fillId="0" borderId="0" xfId="0" applyNumberFormat="1" applyFont="1"/>
    <xf numFmtId="2" fontId="2" fillId="0" borderId="0" xfId="0" applyNumberFormat="1" applyFont="1"/>
    <xf numFmtId="49" fontId="3" fillId="0" borderId="0" xfId="0" applyNumberFormat="1" applyFont="1" applyAlignment="1">
      <alignment vertical="top"/>
    </xf>
    <xf numFmtId="49" fontId="4" fillId="0" borderId="0" xfId="0" applyNumberFormat="1" applyFont="1" applyAlignment="1">
      <alignment vertical="top"/>
    </xf>
    <xf numFmtId="0" fontId="4" fillId="0" borderId="0" xfId="0" applyFont="1" applyAlignment="1">
      <alignment vertical="top"/>
    </xf>
    <xf numFmtId="9" fontId="4" fillId="0" borderId="0" xfId="0" applyNumberFormat="1" applyFont="1" applyAlignment="1">
      <alignment vertical="top"/>
    </xf>
    <xf numFmtId="2" fontId="4" fillId="0" borderId="0" xfId="0" applyNumberFormat="1" applyFont="1" applyAlignment="1">
      <alignment vertical="top"/>
    </xf>
    <xf numFmtId="0" fontId="5" fillId="0" borderId="0" xfId="0" applyFont="1"/>
    <xf numFmtId="0" fontId="6" fillId="0" borderId="0" xfId="0" applyFont="1"/>
    <xf numFmtId="2" fontId="6" fillId="0" borderId="0" xfId="0" applyNumberFormat="1" applyFont="1"/>
    <xf numFmtId="9" fontId="6" fillId="0" borderId="0" xfId="0" applyNumberFormat="1" applyFont="1"/>
    <xf numFmtId="0" fontId="5" fillId="0" borderId="0" xfId="0" applyNumberFormat="1" applyFont="1"/>
    <xf numFmtId="0" fontId="7" fillId="0" borderId="0" xfId="0" applyFont="1"/>
    <xf numFmtId="49" fontId="8" fillId="0" borderId="0" xfId="0" applyNumberFormat="1" applyFont="1"/>
    <xf numFmtId="1" fontId="8" fillId="0" borderId="0" xfId="0" applyNumberFormat="1" applyFont="1"/>
    <xf numFmtId="2" fontId="8" fillId="0" borderId="0" xfId="0" applyNumberFormat="1" applyFont="1"/>
    <xf numFmtId="0" fontId="8" fillId="0" borderId="0" xfId="0" applyFont="1"/>
    <xf numFmtId="49" fontId="8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DF73F-CF13-1940-8E80-866CA0B67155}">
  <dimension ref="A1:I7"/>
  <sheetViews>
    <sheetView workbookViewId="0">
      <selection sqref="A1:I1"/>
    </sheetView>
  </sheetViews>
  <sheetFormatPr baseColWidth="10" defaultRowHeight="16"/>
  <sheetData>
    <row r="1" spans="1:9" ht="1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7">
      <c r="A2" s="1" t="s">
        <v>9</v>
      </c>
      <c r="B2" s="2" t="s">
        <v>10</v>
      </c>
      <c r="C2" s="2">
        <v>33</v>
      </c>
      <c r="D2" s="2">
        <v>1196.99</v>
      </c>
      <c r="E2" s="2">
        <v>30.58</v>
      </c>
      <c r="F2" s="2">
        <v>0</v>
      </c>
      <c r="G2" s="3">
        <v>0.35</v>
      </c>
      <c r="H2" s="4">
        <v>8.5609999999999999</v>
      </c>
      <c r="I2" s="2">
        <v>9033</v>
      </c>
    </row>
    <row r="3" spans="1:9" ht="17">
      <c r="A3" s="1" t="s">
        <v>11</v>
      </c>
      <c r="B3" s="2" t="s">
        <v>12</v>
      </c>
      <c r="C3" s="2">
        <v>1</v>
      </c>
      <c r="D3" s="2">
        <v>1</v>
      </c>
      <c r="E3" s="2">
        <v>22.89</v>
      </c>
      <c r="F3" s="2">
        <v>0</v>
      </c>
      <c r="G3" s="3">
        <v>0.35</v>
      </c>
      <c r="H3" s="4">
        <v>6.4084999999999992</v>
      </c>
      <c r="I3" s="2">
        <v>4501</v>
      </c>
    </row>
    <row r="4" spans="1:9" ht="17">
      <c r="A4" s="1" t="s">
        <v>13</v>
      </c>
      <c r="B4" s="2" t="s">
        <v>14</v>
      </c>
      <c r="C4" s="2">
        <v>0</v>
      </c>
      <c r="D4" s="2">
        <v>0</v>
      </c>
      <c r="E4" s="2">
        <v>-2.95</v>
      </c>
      <c r="F4" s="2">
        <v>0</v>
      </c>
      <c r="G4" s="3">
        <v>0.35</v>
      </c>
      <c r="H4" s="4">
        <v>-0.82599999999999996</v>
      </c>
      <c r="I4" s="2">
        <v>4013</v>
      </c>
    </row>
    <row r="5" spans="1:9" ht="17">
      <c r="A5" s="1" t="s">
        <v>15</v>
      </c>
      <c r="B5" s="2" t="s">
        <v>16</v>
      </c>
      <c r="C5" s="2">
        <v>10</v>
      </c>
      <c r="D5" s="2">
        <v>447.95</v>
      </c>
      <c r="E5" s="2">
        <v>1.72</v>
      </c>
      <c r="F5" s="2">
        <v>0</v>
      </c>
      <c r="G5" s="3">
        <v>0.35</v>
      </c>
      <c r="H5" s="4">
        <v>0.48299999999999993</v>
      </c>
      <c r="I5" s="2">
        <v>4013</v>
      </c>
    </row>
    <row r="6" spans="1:9" ht="17">
      <c r="A6" s="1" t="s">
        <v>17</v>
      </c>
      <c r="B6" s="2" t="s">
        <v>18</v>
      </c>
      <c r="C6" s="2">
        <v>10</v>
      </c>
      <c r="D6" s="2">
        <v>22937.439999999999</v>
      </c>
      <c r="E6" s="2">
        <v>127.99</v>
      </c>
      <c r="F6" s="2">
        <v>0</v>
      </c>
      <c r="G6" s="3">
        <v>0.35</v>
      </c>
      <c r="H6" s="4">
        <v>35.836500000000001</v>
      </c>
      <c r="I6" s="2">
        <v>4715</v>
      </c>
    </row>
    <row r="7" spans="1:9" ht="17">
      <c r="A7" s="1" t="s">
        <v>19</v>
      </c>
      <c r="B7" s="2" t="s">
        <v>20</v>
      </c>
      <c r="C7" s="2">
        <v>7</v>
      </c>
      <c r="D7" s="2">
        <v>11673.48</v>
      </c>
      <c r="E7" s="2">
        <v>43.1</v>
      </c>
      <c r="F7" s="2">
        <v>0</v>
      </c>
      <c r="G7" s="3">
        <v>0.35</v>
      </c>
      <c r="H7" s="4">
        <v>12.067999999999998</v>
      </c>
      <c r="I7" s="2">
        <v>4601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FEE3B-D375-2C4B-BFCB-080DF5A34BCE}">
  <dimension ref="A1:I6"/>
  <sheetViews>
    <sheetView workbookViewId="0">
      <selection activeCell="G15" sqref="G15"/>
    </sheetView>
  </sheetViews>
  <sheetFormatPr baseColWidth="10" defaultRowHeight="16"/>
  <sheetData>
    <row r="1" spans="1:9" ht="1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5" t="s">
        <v>11</v>
      </c>
      <c r="B2" s="6" t="s">
        <v>12</v>
      </c>
      <c r="C2" s="7">
        <v>3202</v>
      </c>
      <c r="D2" s="7">
        <v>46758.31</v>
      </c>
      <c r="E2" s="7">
        <v>260.52999999999997</v>
      </c>
      <c r="F2" s="7">
        <v>0.7</v>
      </c>
      <c r="G2" s="8">
        <v>0.35</v>
      </c>
      <c r="H2" s="9">
        <f>G2*E2</f>
        <v>91.18549999999999</v>
      </c>
      <c r="I2" s="7">
        <v>4501</v>
      </c>
    </row>
    <row r="3" spans="1:9">
      <c r="A3" s="5" t="s">
        <v>13</v>
      </c>
      <c r="B3" s="6" t="s">
        <v>14</v>
      </c>
      <c r="C3" s="7">
        <v>1</v>
      </c>
      <c r="D3" s="7">
        <v>921.15</v>
      </c>
      <c r="E3" s="7">
        <v>-5.67</v>
      </c>
      <c r="F3" s="7">
        <v>-0.77</v>
      </c>
      <c r="G3" s="8">
        <v>0.35</v>
      </c>
      <c r="H3" s="9">
        <f t="shared" ref="H3:H6" si="0">G3*E3</f>
        <v>-1.9844999999999999</v>
      </c>
      <c r="I3" s="7">
        <v>4013</v>
      </c>
    </row>
    <row r="4" spans="1:9">
      <c r="A4" s="5" t="s">
        <v>15</v>
      </c>
      <c r="B4" s="6" t="s">
        <v>16</v>
      </c>
      <c r="C4" s="7">
        <v>10</v>
      </c>
      <c r="D4" s="7">
        <v>1685</v>
      </c>
      <c r="E4" s="7">
        <v>5.76</v>
      </c>
      <c r="F4" s="7">
        <v>0.43</v>
      </c>
      <c r="G4" s="8">
        <v>0.35</v>
      </c>
      <c r="H4" s="9">
        <f t="shared" si="0"/>
        <v>2.016</v>
      </c>
      <c r="I4" s="7">
        <v>4013</v>
      </c>
    </row>
    <row r="5" spans="1:9">
      <c r="A5" s="5" t="s">
        <v>17</v>
      </c>
      <c r="B5" s="6" t="s">
        <v>18</v>
      </c>
      <c r="C5" s="7">
        <v>24</v>
      </c>
      <c r="D5" s="7">
        <v>83075.740000000005</v>
      </c>
      <c r="E5" s="7">
        <v>390.84</v>
      </c>
      <c r="F5" s="7">
        <v>0.59</v>
      </c>
      <c r="G5" s="8">
        <v>0.35</v>
      </c>
      <c r="H5" s="9">
        <f t="shared" si="0"/>
        <v>136.79399999999998</v>
      </c>
      <c r="I5" s="7">
        <v>4715</v>
      </c>
    </row>
    <row r="6" spans="1:9">
      <c r="A6" s="5" t="s">
        <v>9</v>
      </c>
      <c r="B6" s="6" t="s">
        <v>10</v>
      </c>
      <c r="C6" s="7">
        <v>65</v>
      </c>
      <c r="D6" s="7">
        <v>1880.28</v>
      </c>
      <c r="E6" s="7">
        <v>14.28</v>
      </c>
      <c r="F6" s="7">
        <v>0.95</v>
      </c>
      <c r="G6" s="8">
        <v>0.35</v>
      </c>
      <c r="H6" s="9">
        <f t="shared" si="0"/>
        <v>4.9979999999999993</v>
      </c>
      <c r="I6" s="7">
        <v>9033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D6D66-EE5C-A644-A700-921CF1D1551E}">
  <dimension ref="A1:K10"/>
  <sheetViews>
    <sheetView tabSelected="1" workbookViewId="0">
      <selection activeCell="H17" sqref="H17"/>
    </sheetView>
  </sheetViews>
  <sheetFormatPr baseColWidth="10" defaultRowHeight="16"/>
  <sheetData>
    <row r="1" spans="1:11">
      <c r="A1" s="15" t="s">
        <v>28</v>
      </c>
      <c r="B1" s="15" t="s">
        <v>29</v>
      </c>
      <c r="C1" s="15" t="s">
        <v>30</v>
      </c>
      <c r="D1" s="15" t="s">
        <v>3</v>
      </c>
      <c r="E1" s="15" t="s">
        <v>21</v>
      </c>
      <c r="F1" s="15" t="s">
        <v>22</v>
      </c>
      <c r="G1" s="15" t="s">
        <v>23</v>
      </c>
      <c r="H1" s="15" t="s">
        <v>31</v>
      </c>
      <c r="I1" s="15" t="s">
        <v>7</v>
      </c>
      <c r="J1" s="15" t="s">
        <v>8</v>
      </c>
      <c r="K1" s="11" t="s">
        <v>8</v>
      </c>
    </row>
    <row r="2" spans="1:11">
      <c r="A2" s="16" t="s">
        <v>32</v>
      </c>
      <c r="B2" s="16" t="s">
        <v>24</v>
      </c>
      <c r="C2" s="17">
        <v>40</v>
      </c>
      <c r="D2" s="18">
        <v>4117.41</v>
      </c>
      <c r="E2" s="18">
        <v>146.6</v>
      </c>
      <c r="F2" s="18">
        <v>117.24</v>
      </c>
      <c r="G2" s="18">
        <v>23.49</v>
      </c>
      <c r="H2" s="19">
        <v>0.35</v>
      </c>
      <c r="I2" s="18">
        <v>8.2200000000000006</v>
      </c>
      <c r="J2" s="20">
        <v>1210</v>
      </c>
      <c r="K2" s="11">
        <v>4501</v>
      </c>
    </row>
    <row r="3" spans="1:11">
      <c r="A3" s="16" t="s">
        <v>9</v>
      </c>
      <c r="B3" s="16" t="s">
        <v>10</v>
      </c>
      <c r="C3" s="17">
        <v>23</v>
      </c>
      <c r="D3" s="18">
        <v>857.96</v>
      </c>
      <c r="E3" s="18">
        <v>70.88</v>
      </c>
      <c r="F3" s="18">
        <v>59.25</v>
      </c>
      <c r="G3" s="18">
        <v>9.3000000000000007</v>
      </c>
      <c r="H3" s="19">
        <v>0.35</v>
      </c>
      <c r="I3" s="18">
        <v>3.26</v>
      </c>
      <c r="J3" s="20" t="s">
        <v>33</v>
      </c>
      <c r="K3" s="11">
        <v>4013</v>
      </c>
    </row>
    <row r="4" spans="1:11">
      <c r="A4" s="16" t="s">
        <v>11</v>
      </c>
      <c r="B4" s="16" t="s">
        <v>12</v>
      </c>
      <c r="C4" s="17">
        <v>3357</v>
      </c>
      <c r="D4" s="18">
        <v>48569.88</v>
      </c>
      <c r="E4" s="18">
        <v>1687.84</v>
      </c>
      <c r="F4" s="18">
        <v>1316.42</v>
      </c>
      <c r="G4" s="18">
        <v>297.14</v>
      </c>
      <c r="H4" s="19">
        <v>0.35</v>
      </c>
      <c r="I4" s="18">
        <v>104</v>
      </c>
      <c r="J4" s="20" t="s">
        <v>34</v>
      </c>
      <c r="K4" s="11">
        <v>1210</v>
      </c>
    </row>
    <row r="5" spans="1:11">
      <c r="A5" s="16" t="s">
        <v>35</v>
      </c>
      <c r="B5" s="16" t="s">
        <v>36</v>
      </c>
      <c r="C5" s="17">
        <v>0</v>
      </c>
      <c r="D5" s="18">
        <v>0</v>
      </c>
      <c r="E5" s="18">
        <v>25</v>
      </c>
      <c r="F5" s="18">
        <v>12.5</v>
      </c>
      <c r="G5" s="18">
        <v>10</v>
      </c>
      <c r="H5" s="19">
        <v>0.35</v>
      </c>
      <c r="I5" s="18">
        <v>3.5</v>
      </c>
      <c r="J5" s="20">
        <v>4715</v>
      </c>
      <c r="K5" s="11">
        <v>4001</v>
      </c>
    </row>
    <row r="6" spans="1:11">
      <c r="A6" s="16" t="s">
        <v>13</v>
      </c>
      <c r="B6" s="16" t="s">
        <v>14</v>
      </c>
      <c r="C6" s="17">
        <v>0</v>
      </c>
      <c r="D6" s="18">
        <v>0</v>
      </c>
      <c r="E6" s="18">
        <v>44.95</v>
      </c>
      <c r="F6" s="18">
        <v>50.95</v>
      </c>
      <c r="G6" s="18">
        <v>-4.8</v>
      </c>
      <c r="H6" s="19">
        <v>0.35</v>
      </c>
      <c r="I6" s="18">
        <v>-1.68</v>
      </c>
      <c r="J6" s="20" t="s">
        <v>37</v>
      </c>
      <c r="K6" s="11">
        <v>4013</v>
      </c>
    </row>
    <row r="7" spans="1:11">
      <c r="A7" s="16" t="s">
        <v>15</v>
      </c>
      <c r="B7" s="16" t="s">
        <v>16</v>
      </c>
      <c r="C7" s="17">
        <v>1</v>
      </c>
      <c r="D7" s="18">
        <v>70</v>
      </c>
      <c r="E7" s="18">
        <v>45</v>
      </c>
      <c r="F7" s="18">
        <v>39.01</v>
      </c>
      <c r="G7" s="18">
        <v>4.79</v>
      </c>
      <c r="H7" s="19">
        <v>0.35</v>
      </c>
      <c r="I7" s="18">
        <v>1.68</v>
      </c>
      <c r="J7" s="20" t="s">
        <v>37</v>
      </c>
      <c r="K7" s="11">
        <v>4715</v>
      </c>
    </row>
    <row r="8" spans="1:11">
      <c r="A8" s="16" t="s">
        <v>17</v>
      </c>
      <c r="B8" s="16" t="s">
        <v>18</v>
      </c>
      <c r="C8" s="17">
        <v>20</v>
      </c>
      <c r="D8" s="18">
        <v>15816.52</v>
      </c>
      <c r="E8" s="18">
        <v>556.1</v>
      </c>
      <c r="F8" s="18">
        <v>469.98</v>
      </c>
      <c r="G8" s="18">
        <v>68.900000000000006</v>
      </c>
      <c r="H8" s="19">
        <v>0.35</v>
      </c>
      <c r="I8" s="18">
        <v>24.12</v>
      </c>
      <c r="J8" s="20" t="s">
        <v>38</v>
      </c>
      <c r="K8" s="11">
        <v>1206</v>
      </c>
    </row>
    <row r="9" spans="1:11">
      <c r="A9" s="16" t="s">
        <v>39</v>
      </c>
      <c r="B9" s="16" t="s">
        <v>27</v>
      </c>
      <c r="C9" s="17">
        <v>2</v>
      </c>
      <c r="D9" s="18">
        <v>4141.04</v>
      </c>
      <c r="E9" s="18">
        <v>140.06</v>
      </c>
      <c r="F9" s="18">
        <v>144.08000000000001</v>
      </c>
      <c r="G9" s="18">
        <v>-3.22</v>
      </c>
      <c r="H9" s="19">
        <v>0.35</v>
      </c>
      <c r="I9" s="18">
        <v>-1.1299999999999999</v>
      </c>
      <c r="J9" s="20" t="s">
        <v>40</v>
      </c>
      <c r="K9" s="11">
        <v>9033</v>
      </c>
    </row>
    <row r="10" spans="1:11">
      <c r="A10" s="10"/>
      <c r="B10" s="11"/>
      <c r="C10" s="11"/>
      <c r="D10" s="11"/>
      <c r="E10" s="11"/>
      <c r="F10" s="11"/>
      <c r="G10" s="12"/>
      <c r="H10" s="11"/>
      <c r="I10" s="13"/>
      <c r="J10" s="12"/>
      <c r="K10" s="1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918BA-275A-0F45-B9C6-7A6730FAF615}">
  <dimension ref="A1:K10"/>
  <sheetViews>
    <sheetView workbookViewId="0">
      <selection sqref="A1:K10"/>
    </sheetView>
  </sheetViews>
  <sheetFormatPr baseColWidth="10" defaultRowHeight="16"/>
  <sheetData>
    <row r="1" spans="1:11">
      <c r="A1" s="10" t="s">
        <v>0</v>
      </c>
      <c r="B1" s="11" t="s">
        <v>1</v>
      </c>
      <c r="C1" s="11" t="s">
        <v>2</v>
      </c>
      <c r="D1" s="11" t="s">
        <v>3</v>
      </c>
      <c r="E1" s="11" t="s">
        <v>21</v>
      </c>
      <c r="F1" s="11" t="s">
        <v>22</v>
      </c>
      <c r="G1" s="11" t="s">
        <v>4</v>
      </c>
      <c r="H1" s="11" t="s">
        <v>5</v>
      </c>
      <c r="I1" s="11" t="s">
        <v>6</v>
      </c>
      <c r="J1" s="11" t="s">
        <v>23</v>
      </c>
      <c r="K1" s="11" t="s">
        <v>8</v>
      </c>
    </row>
    <row r="2" spans="1:11">
      <c r="A2" s="14">
        <v>3286750000000000</v>
      </c>
      <c r="B2" s="11" t="s">
        <v>12</v>
      </c>
      <c r="C2" s="11">
        <v>3712</v>
      </c>
      <c r="D2" s="11">
        <v>53949.440000000002</v>
      </c>
      <c r="E2" s="11">
        <v>1872.82</v>
      </c>
      <c r="F2" s="11">
        <v>1491.96</v>
      </c>
      <c r="G2" s="12">
        <v>302.94</v>
      </c>
      <c r="H2" s="11">
        <v>0.72</v>
      </c>
      <c r="I2" s="13">
        <v>0.35</v>
      </c>
      <c r="J2" s="12">
        <v>106.03</v>
      </c>
      <c r="K2" s="11">
        <v>4501</v>
      </c>
    </row>
    <row r="3" spans="1:11">
      <c r="A3" s="14">
        <v>3286750000000000</v>
      </c>
      <c r="B3" s="11" t="s">
        <v>14</v>
      </c>
      <c r="C3" s="11">
        <v>0</v>
      </c>
      <c r="D3" s="11">
        <v>0</v>
      </c>
      <c r="E3" s="11">
        <v>44.95</v>
      </c>
      <c r="F3" s="11">
        <v>47.45</v>
      </c>
      <c r="G3" s="12">
        <v>-2</v>
      </c>
      <c r="H3" s="11">
        <v>0</v>
      </c>
      <c r="I3" s="13">
        <v>0.35</v>
      </c>
      <c r="J3" s="12">
        <v>-0.7</v>
      </c>
      <c r="K3" s="11">
        <v>4013</v>
      </c>
    </row>
    <row r="4" spans="1:11">
      <c r="A4" s="14">
        <v>3286750000000000</v>
      </c>
      <c r="B4" s="11" t="s">
        <v>24</v>
      </c>
      <c r="C4" s="11">
        <v>163</v>
      </c>
      <c r="D4" s="11">
        <v>11285.85</v>
      </c>
      <c r="E4" s="11">
        <v>304.43</v>
      </c>
      <c r="F4" s="11">
        <v>240.99</v>
      </c>
      <c r="G4" s="12">
        <v>50.75</v>
      </c>
      <c r="H4" s="11">
        <v>0.56000000000000005</v>
      </c>
      <c r="I4" s="13">
        <v>0.35</v>
      </c>
      <c r="J4" s="12">
        <v>17.760000000000002</v>
      </c>
      <c r="K4" s="11">
        <v>1210</v>
      </c>
    </row>
    <row r="5" spans="1:11">
      <c r="A5" s="14">
        <v>3286750000000000</v>
      </c>
      <c r="B5" s="11" t="s">
        <v>25</v>
      </c>
      <c r="C5" s="11">
        <v>0</v>
      </c>
      <c r="D5" s="11">
        <v>0</v>
      </c>
      <c r="E5" s="11">
        <v>46.95</v>
      </c>
      <c r="F5" s="11">
        <v>57.6</v>
      </c>
      <c r="G5" s="12">
        <v>-17.52</v>
      </c>
      <c r="H5" s="11">
        <v>0</v>
      </c>
      <c r="I5" s="13">
        <v>0.35</v>
      </c>
      <c r="J5" s="12">
        <v>-6.13</v>
      </c>
      <c r="K5" s="11">
        <v>4001</v>
      </c>
    </row>
    <row r="6" spans="1:11">
      <c r="A6" s="14">
        <v>3286750000000000</v>
      </c>
      <c r="B6" s="11" t="s">
        <v>16</v>
      </c>
      <c r="C6" s="11">
        <v>1</v>
      </c>
      <c r="D6" s="11">
        <v>16.05</v>
      </c>
      <c r="E6" s="11">
        <v>70</v>
      </c>
      <c r="F6" s="11">
        <v>47.89</v>
      </c>
      <c r="G6" s="12">
        <v>17.690000000000001</v>
      </c>
      <c r="H6" s="11">
        <v>137.76</v>
      </c>
      <c r="I6" s="13">
        <v>0.35</v>
      </c>
      <c r="J6" s="12">
        <v>6.19</v>
      </c>
      <c r="K6" s="11">
        <v>4013</v>
      </c>
    </row>
    <row r="7" spans="1:11">
      <c r="A7" s="14">
        <v>5482980000000000</v>
      </c>
      <c r="B7" s="11" t="s">
        <v>18</v>
      </c>
      <c r="C7" s="11">
        <v>10</v>
      </c>
      <c r="D7" s="11">
        <v>15400.15</v>
      </c>
      <c r="E7" s="11">
        <v>555.61</v>
      </c>
      <c r="F7" s="11">
        <v>473.31</v>
      </c>
      <c r="G7" s="12">
        <v>65.84</v>
      </c>
      <c r="H7" s="11">
        <v>0.53</v>
      </c>
      <c r="I7" s="13">
        <v>0.35</v>
      </c>
      <c r="J7" s="12">
        <v>23.04</v>
      </c>
      <c r="K7" s="11">
        <v>4715</v>
      </c>
    </row>
    <row r="8" spans="1:11">
      <c r="A8" s="14">
        <v>3286750000000000</v>
      </c>
      <c r="B8" s="11" t="s">
        <v>26</v>
      </c>
      <c r="C8" s="11">
        <v>0</v>
      </c>
      <c r="D8" s="11">
        <v>0</v>
      </c>
      <c r="E8" s="11">
        <v>25.21</v>
      </c>
      <c r="F8" s="11">
        <v>12.6</v>
      </c>
      <c r="G8" s="12">
        <v>10.09</v>
      </c>
      <c r="H8" s="11">
        <v>0</v>
      </c>
      <c r="I8" s="13">
        <v>0.35</v>
      </c>
      <c r="J8" s="12">
        <v>3.53</v>
      </c>
      <c r="K8" s="11">
        <v>1206</v>
      </c>
    </row>
    <row r="9" spans="1:11">
      <c r="A9" s="14">
        <v>3286750000000000</v>
      </c>
      <c r="B9" s="11" t="s">
        <v>10</v>
      </c>
      <c r="C9" s="11">
        <v>1</v>
      </c>
      <c r="D9" s="11">
        <v>10.4</v>
      </c>
      <c r="E9" s="11">
        <v>62.95</v>
      </c>
      <c r="F9" s="11">
        <v>59.93</v>
      </c>
      <c r="G9" s="12">
        <v>2.42</v>
      </c>
      <c r="H9" s="11">
        <v>29.04</v>
      </c>
      <c r="I9" s="13">
        <v>0.35</v>
      </c>
      <c r="J9" s="12">
        <v>0.85</v>
      </c>
      <c r="K9" s="11">
        <v>9033</v>
      </c>
    </row>
    <row r="10" spans="1:11">
      <c r="A10" s="14">
        <v>3286750000000000</v>
      </c>
      <c r="B10" s="11" t="s">
        <v>27</v>
      </c>
      <c r="C10" s="11">
        <v>0</v>
      </c>
      <c r="D10" s="11">
        <v>0</v>
      </c>
      <c r="E10" s="11">
        <v>25</v>
      </c>
      <c r="F10" s="11">
        <v>21.5</v>
      </c>
      <c r="G10" s="12">
        <v>2.8</v>
      </c>
      <c r="H10" s="11">
        <v>0</v>
      </c>
      <c r="I10" s="13">
        <v>0.35</v>
      </c>
      <c r="J10" s="12">
        <v>0.98</v>
      </c>
      <c r="K10" s="11">
        <v>4506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June 2025</vt:lpstr>
      <vt:lpstr>July 2025</vt:lpstr>
      <vt:lpstr>Aug 2025</vt:lpstr>
      <vt:lpstr>Sept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Cody Burnell</dc:creator>
  <cp:lastModifiedBy>Cody Burnell</cp:lastModifiedBy>
  <dcterms:created xsi:type="dcterms:W3CDTF">2025-09-02T22:24:12Z</dcterms:created>
  <dcterms:modified xsi:type="dcterms:W3CDTF">2025-11-14T15:16:33Z</dcterms:modified>
</cp:coreProperties>
</file>